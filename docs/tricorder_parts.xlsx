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ts 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333F50"/>
        <bgColor rgb="FF333399"/>
      </patternFill>
    </fill>
    <fill>
      <patternFill patternType="solid">
        <fgColor rgb="FFFDE9D9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/>
    </xf>
    <xf numFmtId="0" fontId="5" fillId="3" borderId="0" applyAlignment="1" pivotButton="0" quotePrefix="0" xfId="0">
      <alignment horizontal="general" vertical="top" wrapText="1"/>
    </xf>
    <xf numFmtId="164" fontId="6" fillId="3" borderId="0" applyAlignment="1" pivotButton="0" quotePrefix="0" xfId="0">
      <alignment horizontal="general" vertical="top"/>
    </xf>
    <xf numFmtId="164" fontId="5" fillId="3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164" fontId="6" fillId="0" borderId="0" applyAlignment="1" pivotButton="0" quotePrefix="0" xfId="0">
      <alignment horizontal="general" vertical="top"/>
    </xf>
    <xf numFmtId="164" fontId="5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/>
    </xf>
    <xf numFmtId="0" fontId="5" fillId="3" borderId="0" applyAlignment="1" pivotButton="0" quotePrefix="0" xfId="0">
      <alignment horizontal="general" vertical="top" wrapText="1"/>
    </xf>
    <xf numFmtId="164" fontId="6" fillId="3" borderId="0" applyAlignment="1" pivotButton="0" quotePrefix="0" xfId="0">
      <alignment horizontal="general" vertical="top"/>
    </xf>
    <xf numFmtId="164" fontId="5" fillId="3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164" fontId="6" fillId="0" borderId="0" applyAlignment="1" pivotButton="0" quotePrefix="0" xfId="0">
      <alignment horizontal="general" vertical="top"/>
    </xf>
    <xf numFmtId="164" fontId="5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22" customWidth="1" style="14" min="2" max="2"/>
    <col width="44" customWidth="1" style="14" min="3" max="3"/>
    <col width="5" customWidth="1" style="14" min="4" max="4"/>
    <col width="13" customWidth="1" style="14" min="5" max="6"/>
    <col width="30" customWidth="1" style="14" min="7" max="7"/>
    <col width="48" customWidth="1" style="14" min="8" max="8"/>
    <col width="40" customWidth="1" style="14" min="9" max="9"/>
    <col width="44" customWidth="1" style="14" min="10" max="10"/>
  </cols>
  <sheetData>
    <row r="1" ht="23.25" customHeight="1" s="15">
      <c r="A1" s="16" t="inlineStr">
        <is>
          <t>Category</t>
        </is>
      </c>
      <c r="B1" s="16" t="inlineStr">
        <is>
          <t>Supplier</t>
        </is>
      </c>
      <c r="C1" s="16" t="inlineStr">
        <is>
          <t>Part</t>
        </is>
      </c>
      <c r="D1" s="16" t="inlineStr">
        <is>
          <t>Qty</t>
        </is>
      </c>
      <c r="E1" s="16" t="inlineStr">
        <is>
          <t>Unit Price (USD)</t>
        </is>
      </c>
      <c r="F1" s="16" t="inlineStr">
        <is>
          <t>Line Total (USD)</t>
        </is>
      </c>
      <c r="G1" s="16" t="inlineStr">
        <is>
          <t>Price Status</t>
        </is>
      </c>
      <c r="H1" s="16" t="inlineStr">
        <is>
          <t>Purchase URL</t>
        </is>
      </c>
      <c r="I1" s="16" t="inlineStr">
        <is>
          <t>Tricorder Function</t>
        </is>
      </c>
      <c r="J1" s="16" t="inlineStr">
        <is>
          <t>Notes</t>
        </is>
      </c>
    </row>
    <row r="2" ht="23.25" customHeight="1" s="15">
      <c r="A2" s="17" t="inlineStr">
        <is>
          <t>Low-rate / quality</t>
        </is>
      </c>
      <c r="B2" s="17" t="inlineStr">
        <is>
          <t>Adafruit</t>
        </is>
      </c>
      <c r="C2" s="18" t="inlineStr">
        <is>
          <t>Adafruit BME688 #5046 (gas+temp+RH+pressure, I2C)</t>
        </is>
      </c>
      <c r="D2" s="17" t="n">
        <v>1</v>
      </c>
      <c r="E2" s="19" t="n">
        <v>31.11</v>
      </c>
      <c r="F2" s="20">
        <f>D2*E2</f>
        <v/>
      </c>
      <c r="G2" s="18" t="inlineStr">
        <is>
          <t>VERIFIED DigiKey Jul 2026</t>
        </is>
      </c>
      <c r="H2" s="18" t="inlineStr">
        <is>
          <t>https://www.adafruit.com/product/5046</t>
        </is>
      </c>
      <c r="I2" s="18" t="inlineStr">
        <is>
          <t>Atmospheric/air composition; environment</t>
        </is>
      </c>
      <c r="J2" s="18" t="inlineStr">
        <is>
          <t>MOX gas = estimated VOC index, needs baseline cal</t>
        </is>
      </c>
    </row>
    <row r="3" ht="23.25" customHeight="1" s="15">
      <c r="A3" s="17" t="inlineStr">
        <is>
          <t>Low-rate / quality</t>
        </is>
      </c>
      <c r="B3" s="17" t="inlineStr">
        <is>
          <t>Adafruit</t>
        </is>
      </c>
      <c r="C3" s="18" t="inlineStr">
        <is>
          <t>Adafruit SCD-41 #5190 (true CO2, NDIR, I2C)</t>
        </is>
      </c>
      <c r="D3" s="17" t="n">
        <v>1</v>
      </c>
      <c r="E3" s="19" t="n">
        <v>49.5</v>
      </c>
      <c r="F3" s="20">
        <f>D3*E3</f>
        <v/>
      </c>
      <c r="G3" s="18" t="inlineStr">
        <is>
          <t>ESTIMATE - not captured this session</t>
        </is>
      </c>
      <c r="H3" s="18" t="inlineStr">
        <is>
          <t>https://www.adafruit.com/product/5190</t>
        </is>
      </c>
      <c r="I3" s="18" t="inlineStr">
        <is>
          <t>Atmospheric composition (true CO2)</t>
        </is>
      </c>
      <c r="J3" s="18" t="inlineStr">
        <is>
          <t>Only real CO2 ppm in this list</t>
        </is>
      </c>
    </row>
    <row r="4" ht="23.25" customHeight="1" s="15">
      <c r="A4" s="17" t="inlineStr">
        <is>
          <t>Low-rate / quality</t>
        </is>
      </c>
      <c r="B4" s="17" t="inlineStr">
        <is>
          <t>Adafruit</t>
        </is>
      </c>
      <c r="C4" s="18" t="inlineStr">
        <is>
          <t>Adafruit VEML7700 #4162 (16-bit lux, I2C)</t>
        </is>
      </c>
      <c r="D4" s="17" t="n">
        <v>1</v>
      </c>
      <c r="E4" s="19" t="n">
        <v>7.24</v>
      </c>
      <c r="F4" s="20">
        <f>D4*E4</f>
        <v/>
      </c>
      <c r="G4" s="18" t="inlineStr">
        <is>
          <t>VERIFIED DigiKey Jul 2026</t>
        </is>
      </c>
      <c r="H4" s="18" t="inlineStr">
        <is>
          <t>https://www.adafruit.com/product/4162</t>
        </is>
      </c>
      <c r="I4" s="18" t="inlineStr">
        <is>
          <t>Light scan (lux)</t>
        </is>
      </c>
      <c r="J4" s="18" t="inlineStr">
        <is>
          <t>0.005-120k lux</t>
        </is>
      </c>
    </row>
    <row r="5" ht="23.25" customHeight="1" s="15">
      <c r="A5" s="17" t="inlineStr">
        <is>
          <t>Low-rate / quality</t>
        </is>
      </c>
      <c r="B5" s="17" t="inlineStr">
        <is>
          <t>Adafruit</t>
        </is>
      </c>
      <c r="C5" s="18" t="inlineStr">
        <is>
          <t>Adafruit AS7341 #4698 (11-ch spectral, I2C)</t>
        </is>
      </c>
      <c r="D5" s="17" t="n">
        <v>1</v>
      </c>
      <c r="E5" s="19" t="n">
        <v>15.95</v>
      </c>
      <c r="F5" s="20">
        <f>D5*E5</f>
        <v/>
      </c>
      <c r="G5" s="18" t="inlineStr">
        <is>
          <t>ESTIMATE - not captured this session</t>
        </is>
      </c>
      <c r="H5" s="18" t="inlineStr">
        <is>
          <t>https://www.adafruit.com/product/4698</t>
        </is>
      </c>
      <c r="I5" s="18" t="inlineStr">
        <is>
          <t>Composition analysis (crude spectroscopy)</t>
        </is>
      </c>
      <c r="J5" s="18" t="inlineStr">
        <is>
          <t>350-1000 nm</t>
        </is>
      </c>
    </row>
    <row r="6" ht="23.25" customHeight="1" s="15">
      <c r="A6" s="17" t="inlineStr">
        <is>
          <t>High-rate / DFX</t>
        </is>
      </c>
      <c r="B6" s="17" t="inlineStr">
        <is>
          <t>Adafruit</t>
        </is>
      </c>
      <c r="C6" s="18" t="inlineStr">
        <is>
          <t>Adafruit PDM MEMS mic #3492</t>
        </is>
      </c>
      <c r="D6" s="17" t="n">
        <v>6</v>
      </c>
      <c r="E6" s="19" t="n">
        <v>4.95</v>
      </c>
      <c r="F6" s="20">
        <f>D6*E6</f>
        <v/>
      </c>
      <c r="G6" s="18" t="inlineStr">
        <is>
          <t>ESTIMATE - not captured this session</t>
        </is>
      </c>
      <c r="H6" s="18" t="inlineStr">
        <is>
          <t>https://www.adafruit.com/product/3492</t>
        </is>
      </c>
      <c r="I6" s="18" t="inlineStr">
        <is>
          <t>Lifeform/motion detection (acoustic localization)</t>
        </is>
      </c>
      <c r="J6" s="18" t="inlineStr">
        <is>
          <t>Beamforming array; onboard mic for bring-up first</t>
        </is>
      </c>
    </row>
    <row r="7" ht="23.25" customHeight="1" s="15">
      <c r="A7" s="21" t="inlineStr">
        <is>
          <t>Low-rate / optional</t>
        </is>
      </c>
      <c r="B7" s="21" t="inlineStr">
        <is>
          <t>SparkFun</t>
        </is>
      </c>
      <c r="C7" s="22" t="inlineStr">
        <is>
          <t>SparkFun MAX30105 particle/pulse-ox #14045 (I2C)</t>
        </is>
      </c>
      <c r="D7" s="21" t="n">
        <v>1</v>
      </c>
      <c r="E7" s="23" t="n">
        <v>19.5</v>
      </c>
      <c r="F7" s="24">
        <f>D7*E7</f>
        <v/>
      </c>
      <c r="G7" s="22" t="inlineStr">
        <is>
          <t>ESTIMATE - not captured this session</t>
        </is>
      </c>
      <c r="H7" s="22" t="inlineStr">
        <is>
          <t>https://www.sparkfun.com/products/14045</t>
        </is>
      </c>
      <c r="I7" s="22" t="inlineStr">
        <is>
          <t>Medical variant (pulse/SpO2)</t>
        </is>
      </c>
      <c r="J7" s="22" t="inlineStr">
        <is>
          <t>Adafruit has no stock MAX3010x; SparkFun is best-documented</t>
        </is>
      </c>
    </row>
    <row r="8" ht="45.75" customHeight="1" s="15">
      <c r="A8" s="21" t="inlineStr">
        <is>
          <t>High-rate / DFX</t>
        </is>
      </c>
      <c r="B8" s="21" t="inlineStr">
        <is>
          <t>Generic (eBay/AliExpress)</t>
        </is>
      </c>
      <c r="C8" s="22" t="inlineStr">
        <is>
          <t>AD9226 ADC module, 12-bit 65 MS/s parallel, Pmod form</t>
        </is>
      </c>
      <c r="D8" s="21" t="n">
        <v>1</v>
      </c>
      <c r="E8" s="23" t="n">
        <v>25</v>
      </c>
      <c r="F8" s="24">
        <f>D8*E8</f>
        <v/>
      </c>
      <c r="G8" s="22" t="inlineStr">
        <is>
          <t>ESTIMATE - generic ~$10-30</t>
        </is>
      </c>
      <c r="H8" s="22" t="inlineStr">
        <is>
          <t>https://fraserinnovations.com/product/fii-bd9226-high-speed-ad-module-12-digital-65mhz-data-sampling-ad9226/</t>
        </is>
      </c>
      <c r="I8" s="22" t="inlineStr">
        <is>
          <t>EM/RF environment scan; sonar RX; transient capture</t>
        </is>
      </c>
      <c r="J8" s="22" t="inlineStr">
        <is>
          <t>No Adafruit equivalent. Shared wideband front end</t>
        </is>
      </c>
    </row>
    <row r="9" ht="23.25" customHeight="1" s="15">
      <c r="A9" s="21" t="inlineStr">
        <is>
          <t>High-rate / DFX</t>
        </is>
      </c>
      <c r="B9" s="21" t="inlineStr">
        <is>
          <t>Generic (eBay/AliExpress)</t>
        </is>
      </c>
      <c r="C9" s="22" t="inlineStr">
        <is>
          <t>AD9708 DAC module, 8-bit 125 MS/s (often AD9280+AD9708 combo)</t>
        </is>
      </c>
      <c r="D9" s="21" t="n">
        <v>1</v>
      </c>
      <c r="E9" s="23" t="n">
        <v>20</v>
      </c>
      <c r="F9" s="24">
        <f>D9*E9</f>
        <v/>
      </c>
      <c r="G9" s="22" t="inlineStr">
        <is>
          <t>ESTIMATE - ~$15-25</t>
        </is>
      </c>
      <c r="H9" s="22" t="inlineStr">
        <is>
          <t>https://www.ebay.com/sch/i.html?_nkw=AD9708+module</t>
        </is>
      </c>
      <c r="I9" s="22" t="inlineStr">
        <is>
          <t>Active probing/stimulus (source, sweep, ultrasound TX)</t>
        </is>
      </c>
      <c r="J9" s="22" t="inlineStr">
        <is>
          <t>No Adafruit equivalent</t>
        </is>
      </c>
    </row>
    <row r="10" ht="34.5" customHeight="1" s="15">
      <c r="A10" s="21" t="inlineStr">
        <is>
          <t>High-rate / DFX</t>
        </is>
      </c>
      <c r="B10" s="21" t="inlineStr">
        <is>
          <t>Generic (eBay/Amazon)</t>
        </is>
      </c>
      <c r="C10" s="22" t="inlineStr">
        <is>
          <t>OV7670 camera module (8-bit DVP, 640x480@30fps)</t>
        </is>
      </c>
      <c r="D10" s="21" t="n">
        <v>1</v>
      </c>
      <c r="E10" s="23" t="n">
        <v>8</v>
      </c>
      <c r="F10" s="24">
        <f>D10*E10</f>
        <v/>
      </c>
      <c r="G10" s="22" t="inlineStr">
        <is>
          <t>ESTIMATE - ~$5-12</t>
        </is>
      </c>
      <c r="H10" s="22" t="inlineStr">
        <is>
          <t>https://www.amazon.com/ov7670-camera-module/s?k=ov7670+camera+module</t>
        </is>
      </c>
      <c r="I10" s="22" t="inlineStr">
        <is>
          <t>Lifeform/motion detection (vision)</t>
        </is>
      </c>
      <c r="J10" s="22" t="inlineStr">
        <is>
          <t>Adafruit discontinued theirs. Get version WITHOUT FIFO</t>
        </is>
      </c>
    </row>
    <row r="11" ht="34.5" customHeight="1" s="15">
      <c r="A11" s="21" t="inlineStr">
        <is>
          <t>High-rate / DFX</t>
        </is>
      </c>
      <c r="B11" s="21" t="inlineStr">
        <is>
          <t>onsemi (DigiKey/Mouser)</t>
        </is>
      </c>
      <c r="C11" s="22" t="inlineStr">
        <is>
          <t>SiPM module (onsemi MICROFC-SMA-10035-GEVB eval)</t>
        </is>
      </c>
      <c r="D11" s="21" t="n">
        <v>1</v>
      </c>
      <c r="E11" s="23" t="n">
        <v>150</v>
      </c>
      <c r="F11" s="24">
        <f>D11*E11</f>
        <v/>
      </c>
      <c r="G11" s="22" t="inlineStr">
        <is>
          <t>ESTIMATE - unverified; hobby SiPM $30-60 AliExpress</t>
        </is>
      </c>
      <c r="H11" s="22" t="inlineStr">
        <is>
          <t>https://www.digikey.com/en/products/detail/onsemi/MICROFC-SMA-10035-GEVB/6220699</t>
        </is>
      </c>
      <c r="I11" s="22" t="inlineStr">
        <is>
          <t>Photon detection / ranging (ToF, photon counting)</t>
        </is>
      </c>
      <c r="J11" s="22" t="inlineStr">
        <is>
          <t>No Adafruit equivalent. Needs fast comparator e.g. TLV3501</t>
        </is>
      </c>
    </row>
    <row r="12" ht="23.25" customHeight="1" s="15">
      <c r="A12" s="21" t="inlineStr">
        <is>
          <t>High-rate / DFX</t>
        </is>
      </c>
      <c r="B12" s="21" t="inlineStr">
        <is>
          <t>Generic (eBay/AliExpress)</t>
        </is>
      </c>
      <c r="C12" s="22" t="inlineStr">
        <is>
          <t>AD8332 VGA board (ultrasound AFE)</t>
        </is>
      </c>
      <c r="D12" s="21" t="n">
        <v>1</v>
      </c>
      <c r="E12" s="23" t="n">
        <v>30</v>
      </c>
      <c r="F12" s="24">
        <f>D12*E12</f>
        <v/>
      </c>
      <c r="G12" s="22" t="inlineStr">
        <is>
          <t>ESTIMATE - ~$25-40</t>
        </is>
      </c>
      <c r="H12" s="22" t="inlineStr">
        <is>
          <t>https://www.ebay.com/sch/i.html?_nkw=AD8332+module</t>
        </is>
      </c>
      <c r="I12" s="22" t="inlineStr">
        <is>
          <t>Sonar / structure probing (ultrasound AFE)</t>
        </is>
      </c>
      <c r="J12" s="22" t="inlineStr">
        <is>
          <t>No Adafruit equivalent</t>
        </is>
      </c>
    </row>
    <row r="13" ht="34.5" customHeight="1" s="15">
      <c r="A13" s="21" t="inlineStr">
        <is>
          <t>High-rate / DFX</t>
        </is>
      </c>
      <c r="B13" s="21" t="inlineStr">
        <is>
          <t>Generic (Amazon)</t>
        </is>
      </c>
      <c r="C13" s="22" t="inlineStr">
        <is>
          <t>Piezo ultrasonic transducers, 40 kHz pair (TX/RX)</t>
        </is>
      </c>
      <c r="D13" s="21" t="n">
        <v>2</v>
      </c>
      <c r="E13" s="23" t="n">
        <v>3</v>
      </c>
      <c r="F13" s="24">
        <f>D13*E13</f>
        <v/>
      </c>
      <c r="G13" s="22" t="inlineStr">
        <is>
          <t>ESTIMATE</t>
        </is>
      </c>
      <c r="H13" s="22" t="inlineStr">
        <is>
          <t>https://www.amazon.com/s?k=40khz+ultrasonic+transducer+piezo</t>
        </is>
      </c>
      <c r="I13" s="22" t="inlineStr">
        <is>
          <t>Sonar / structure probing (pulse-echo TX/RX)</t>
        </is>
      </c>
      <c r="J13" s="22" t="inlineStr">
        <is>
          <t>1 MHz medical piezo is a later upgrade</t>
        </is>
      </c>
    </row>
    <row r="14">
      <c r="A14" t="inlineStr">
        <is>
          <t>Wiring / connectors</t>
        </is>
      </c>
      <c r="B14" t="inlineStr">
        <is>
          <t>Generic (Amazon)</t>
        </is>
      </c>
      <c r="C14" t="inlineStr">
        <is>
          <t>Dupont jumper wire kit, M-M + M-F + F-F, 10 cm + 20 cm</t>
        </is>
      </c>
      <c r="D14" t="n">
        <v>1</v>
      </c>
      <c r="E14" t="n">
        <v>12</v>
      </c>
      <c r="F14">
        <f>D14*E14</f>
        <v/>
      </c>
      <c r="G14" t="inlineStr">
        <is>
          <t>ESTIMATE</t>
        </is>
      </c>
      <c r="H14" t="inlineStr">
        <is>
          <t>https://www.amazon.com/s?k=dupont+jumper+wire+kit</t>
        </is>
      </c>
      <c r="I14" t="inlineStr">
        <is>
          <t>Harness for camera, ADC/DAC, mics, AFE control</t>
        </is>
      </c>
      <c r="J14" t="inlineStr">
        <is>
          <t>Short (10 cm) runs for cam_pclk and adc bus</t>
        </is>
      </c>
    </row>
    <row r="15" ht="15" customHeight="1" s="15">
      <c r="A15" t="inlineStr">
        <is>
          <t>Wiring / connectors</t>
        </is>
      </c>
      <c r="B15" t="inlineStr">
        <is>
          <t>Generic (Amazon)</t>
        </is>
      </c>
      <c r="C15" t="inlineStr">
        <is>
          <t>0.1 in male pin headers, 2x6 Pmod plugs (pack)</t>
        </is>
      </c>
      <c r="D15" t="n">
        <v>1</v>
      </c>
      <c r="E15" t="n">
        <v>8</v>
      </c>
      <c r="F15">
        <f>D15*E15</f>
        <v/>
      </c>
      <c r="G15" t="inlineStr">
        <is>
          <t>ESTIMATE</t>
        </is>
      </c>
      <c r="H15" t="inlineStr">
        <is>
          <t>https://www.amazon.com/s?k=2x6+pin+header+2.54mm</t>
        </is>
      </c>
      <c r="I15" t="inlineStr">
        <is>
          <t>Clean mating into JA/JB/JC/JD/JXADC sockets</t>
        </is>
      </c>
      <c r="J15" t="inlineStr">
        <is>
          <t>Alternative: Digilent 2x6 Pmod cable kits</t>
        </is>
      </c>
    </row>
    <row r="16">
      <c r="A16" t="inlineStr">
        <is>
          <t>Wiring / connectors</t>
        </is>
      </c>
      <c r="B16" t="inlineStr">
        <is>
          <t>Adafruit</t>
        </is>
      </c>
      <c r="C16" t="inlineStr">
        <is>
          <t>STEMMA QT / Qwiic JST-SH 4-pin cable, 100 mm (#4210)</t>
        </is>
      </c>
      <c r="D16" t="n">
        <v>4</v>
      </c>
      <c r="E16" t="n">
        <v>0.95</v>
      </c>
      <c r="F16">
        <f>D16*E16</f>
        <v/>
      </c>
      <c r="G16" t="inlineStr">
        <is>
          <t>ESTIMATE</t>
        </is>
      </c>
      <c r="H16" t="inlineStr">
        <is>
          <t>https://www.adafruit.com/product/4210</t>
        </is>
      </c>
      <c r="I16" t="inlineStr">
        <is>
          <t>I2C daisy chain across the 5 sensor breakouts</t>
        </is>
      </c>
      <c r="J16" t="inlineStr">
        <is>
          <t>Breakouts carry onboard pull-ups; no resistors needed</t>
        </is>
      </c>
    </row>
    <row r="17" ht="15" customHeight="1" s="15">
      <c r="A17" t="inlineStr">
        <is>
          <t>Wiring / connectors</t>
        </is>
      </c>
      <c r="B17" t="inlineStr">
        <is>
          <t>Adafruit</t>
        </is>
      </c>
      <c r="C17" t="inlineStr">
        <is>
          <t>JST-SH 4-pin to male dupont adapter cable (#4209)</t>
        </is>
      </c>
      <c r="D17" t="n">
        <v>1</v>
      </c>
      <c r="E17" t="n">
        <v>0.95</v>
      </c>
      <c r="F17">
        <f>D17*E17</f>
        <v/>
      </c>
      <c r="G17" t="inlineStr">
        <is>
          <t>ESTIMATE</t>
        </is>
      </c>
      <c r="H17" t="inlineStr">
        <is>
          <t>https://www.adafruit.com/product/4209</t>
        </is>
      </c>
      <c r="I17" t="inlineStr">
        <is>
          <t>Qwiic chain entry into Pmod JA1/JA2</t>
        </is>
      </c>
      <c r="J17" t="inlineStr">
        <is>
          <t>One per harness</t>
        </is>
      </c>
    </row>
    <row r="18">
      <c r="A18" t="inlineStr">
        <is>
          <t>Wiring / connectors</t>
        </is>
      </c>
      <c r="B18" t="inlineStr">
        <is>
          <t>Generic (Amazon)</t>
        </is>
      </c>
      <c r="C18" t="inlineStr">
        <is>
          <t>SMA male-male cable, RG316, ~30 cm</t>
        </is>
      </c>
      <c r="D18" t="n">
        <v>1</v>
      </c>
      <c r="E18" t="n">
        <v>8</v>
      </c>
      <c r="F18">
        <f>D18*E18</f>
        <v/>
      </c>
      <c r="G18" t="inlineStr">
        <is>
          <t>ESTIMATE</t>
        </is>
      </c>
      <c r="H18" t="inlineStr">
        <is>
          <t>https://www.amazon.com/s?k=sma+male+to+male+rg316</t>
        </is>
      </c>
      <c r="I18" t="inlineStr">
        <is>
          <t>SiPM eval board to comparator input</t>
        </is>
      </c>
      <c r="J18" t="inlineStr">
        <is>
          <t>SiPM board is SMA-only</t>
        </is>
      </c>
    </row>
    <row r="19">
      <c r="A19" t="inlineStr">
        <is>
          <t>Wiring / connectors</t>
        </is>
      </c>
      <c r="B19" t="inlineStr">
        <is>
          <t>Generic (Amazon)</t>
        </is>
      </c>
      <c r="C19" t="inlineStr">
        <is>
          <t>SMA female pigtail / edge adapter to 0.1 in</t>
        </is>
      </c>
      <c r="D19" t="n">
        <v>2</v>
      </c>
      <c r="E19" t="n">
        <v>4</v>
      </c>
      <c r="F19">
        <f>D19*E19</f>
        <v/>
      </c>
      <c r="G19" t="inlineStr">
        <is>
          <t>ESTIMATE</t>
        </is>
      </c>
      <c r="H19" t="inlineStr">
        <is>
          <t>https://www.amazon.com/s?k=sma+female+pigtail+breadboard</t>
        </is>
      </c>
      <c r="I19" t="inlineStr">
        <is>
          <t>SiPM comparator + AD8332 analog entries</t>
        </is>
      </c>
      <c r="J19" t="inlineStr">
        <is>
          <t>One for TLV3501 input, one spare for AFE</t>
        </is>
      </c>
    </row>
    <row r="20">
      <c r="A20" t="inlineStr">
        <is>
          <t>Wiring / connectors</t>
        </is>
      </c>
      <c r="B20" t="inlineStr">
        <is>
          <t>Generic (Amazon)</t>
        </is>
      </c>
      <c r="C20" t="inlineStr">
        <is>
          <t>Solderless breadboard 830pt + wire kit</t>
        </is>
      </c>
      <c r="D20" t="n">
        <v>1</v>
      </c>
      <c r="E20" t="n">
        <v>10</v>
      </c>
      <c r="F20">
        <f>D20*E20</f>
        <v/>
      </c>
      <c r="G20" t="inlineStr">
        <is>
          <t>ESTIMATE</t>
        </is>
      </c>
      <c r="H20" t="inlineStr">
        <is>
          <t>https://www.amazon.com/s?k=830+breadboard+kit</t>
        </is>
      </c>
      <c r="I20" t="inlineStr">
        <is>
          <t>TLV3501 comparator, mic-array fan-out, AFE area</t>
        </is>
      </c>
      <c r="J20" t="inlineStr">
        <is>
          <t>-</t>
        </is>
      </c>
    </row>
    <row r="21">
      <c r="A21" t="inlineStr">
        <is>
          <t>Wiring / connectors</t>
        </is>
      </c>
      <c r="B21" t="inlineStr">
        <is>
          <t>Generic (Amazon)</t>
        </is>
      </c>
      <c r="C21" t="inlineStr">
        <is>
          <t>Screw terminal block, 2-pin 0.1 in (pack)</t>
        </is>
      </c>
      <c r="D21" t="n">
        <v>1</v>
      </c>
      <c r="E21" t="n">
        <v>5</v>
      </c>
      <c r="F21">
        <f>D21*E21</f>
        <v/>
      </c>
      <c r="G21" t="inlineStr">
        <is>
          <t>ESTIMATE</t>
        </is>
      </c>
      <c r="H21" t="inlineStr">
        <is>
          <t>https://www.amazon.com/s?k=screw+terminal+2.54mm</t>
        </is>
      </c>
      <c r="I21" t="inlineStr">
        <is>
          <t>Piezo TX/RX bare-wire attachment</t>
        </is>
      </c>
      <c r="J21" t="inlineStr">
        <is>
          <t>Twisted pair to the transducers</t>
        </is>
      </c>
    </row>
    <row r="22"/>
    <row r="23">
      <c r="C23" s="25" t="inlineStr">
        <is>
          <t>TOTAL</t>
        </is>
      </c>
      <c r="F23" s="26">
        <f>SUM(F2:F21)</f>
        <v/>
      </c>
    </row>
    <row r="24"/>
    <row r="25">
      <c r="A25" s="27" t="inlineStr">
        <is>
          <t>Adafruit parts shaded and sorted first (preferred supplier). Non-Adafruit parts have no Adafruit equivalent. Prices 2026-07-05: 'VERIFIED' seen in a distributor listing this session; 'ESTIMATE' from prior knowledge/typical range - confirm before ordering. Unit prices (blue) editable; totals are formulas.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2026-07-05T06:01:33Z</dcterms:created>
  <dcterms:modified xsi:type="dcterms:W3CDTF">2026-07-27T19:59:10Z</dcterms:modified>
  <cp:revision>0</cp:revision>
</cp:coreProperties>
</file>