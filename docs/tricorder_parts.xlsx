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<sst xmlns="http://schemas.openxmlformats.org/spreadsheetml/2006/main" count="84" uniqueCount="68">
  <si>
    <t xml:space="preserve">Category</t>
  </si>
  <si>
    <t xml:space="preserve">Supplier</t>
  </si>
  <si>
    <t xml:space="preserve">Part</t>
  </si>
  <si>
    <t xml:space="preserve">Qty</t>
  </si>
  <si>
    <t xml:space="preserve">Unit Price (USD)</t>
  </si>
  <si>
    <t xml:space="preserve">Line Total (USD)</t>
  </si>
  <si>
    <t xml:space="preserve">Price Status</t>
  </si>
  <si>
    <t xml:space="preserve">Purchase URL</t>
  </si>
  <si>
    <t xml:space="preserve">Tricorder Function</t>
  </si>
  <si>
    <t xml:space="preserve">Notes</t>
  </si>
  <si>
    <t xml:space="preserve">Low-rate / quality</t>
  </si>
  <si>
    <t xml:space="preserve">Adafruit</t>
  </si>
  <si>
    <t xml:space="preserve">Adafruit BME688 #5046 (gas+temp+RH+pressure, I2C)</t>
  </si>
  <si>
    <t xml:space="preserve">https://www.adafruit.com/product/5046</t>
  </si>
  <si>
    <t xml:space="preserve">Atmospheric/air composition; environment</t>
  </si>
  <si>
    <t xml:space="preserve">MOX gas = estimated VOC index, needs baseline cal</t>
  </si>
  <si>
    <t xml:space="preserve">Adafruit SCD-41 #5190 (true CO2, NDIR, I2C)</t>
  </si>
  <si>
    <t xml:space="preserve">https://www.adafruit.com/product/5190</t>
  </si>
  <si>
    <t xml:space="preserve">Atmospheric composition (true CO2)</t>
  </si>
  <si>
    <t xml:space="preserve">Only real CO2 ppm in this list</t>
  </si>
  <si>
    <t xml:space="preserve">Adafruit VEML7700 #4162 (16-bit lux, I2C)</t>
  </si>
  <si>
    <t xml:space="preserve">https://www.adafruit.com/product/4162</t>
  </si>
  <si>
    <t xml:space="preserve">Light scan (lux)</t>
  </si>
  <si>
    <t xml:space="preserve">0.005-120k lux</t>
  </si>
  <si>
    <t xml:space="preserve">Adafruit AS7341 #4698 (11-ch spectral, I2C)</t>
  </si>
  <si>
    <t xml:space="preserve">https://www.adafruit.com/product/4698</t>
  </si>
  <si>
    <t xml:space="preserve">Composition analysis (crude spectroscopy)</t>
  </si>
  <si>
    <t xml:space="preserve">350-1000 nm</t>
  </si>
  <si>
    <t xml:space="preserve">High-rate / DFX</t>
  </si>
  <si>
    <t xml:space="preserve">Adafruit PDM MEMS mic #3492</t>
  </si>
  <si>
    <t xml:space="preserve">https://www.adafruit.com/product/3492</t>
  </si>
  <si>
    <t xml:space="preserve">Lifeform/motion detection (acoustic localization)</t>
  </si>
  <si>
    <t xml:space="preserve">Beamforming array; onboard mic for bring-up first</t>
  </si>
  <si>
    <t xml:space="preserve">Low-rate / optional</t>
  </si>
  <si>
    <t xml:space="preserve">SparkFun</t>
  </si>
  <si>
    <t xml:space="preserve">SparkFun MAX30105 particle/pulse-ox #14045 (I2C)</t>
  </si>
  <si>
    <t xml:space="preserve">https://www.sparkfun.com/products/14045</t>
  </si>
  <si>
    <t xml:space="preserve">Medical variant (pulse/SpO2)</t>
  </si>
  <si>
    <t xml:space="preserve">Adafruit has no stock MAX3010x; SparkFun is best-documented</t>
  </si>
  <si>
    <t xml:space="preserve">Generic (eBay/AliExpress)</t>
  </si>
  <si>
    <t xml:space="preserve">AD9226 ADC module, 12-bit 65 MS/s parallel, Pmod form</t>
  </si>
  <si>
    <t xml:space="preserve">https://fraserinnovations.com/product/fii-bd9226-high-speed-ad-module-12-digital-65mhz-data-sampling-ad9226/</t>
  </si>
  <si>
    <t xml:space="preserve">EM/RF environment scan; sonar RX; transient capture</t>
  </si>
  <si>
    <t xml:space="preserve">No Adafruit equivalent. Shared wideband front end</t>
  </si>
  <si>
    <t xml:space="preserve">AD9708 DAC module, 8-bit 125 MS/s (often AD9280+AD9708 combo)</t>
  </si>
  <si>
    <t xml:space="preserve">https://www.ebay.com/sch/i.html?_nkw=AD9708+module</t>
  </si>
  <si>
    <t xml:space="preserve">Active probing/stimulus (source, sweep, ultrasound TX)</t>
  </si>
  <si>
    <t xml:space="preserve">No Adafruit equivalent</t>
  </si>
  <si>
    <t xml:space="preserve">Generic (eBay/Amazon)</t>
  </si>
  <si>
    <t xml:space="preserve">OV7670 camera module (8-bit DVP, 640x480@30fps)</t>
  </si>
  <si>
    <t xml:space="preserve">https://www.amazon.com/ov7670-camera-module/s?k=ov7670+camera+module</t>
  </si>
  <si>
    <t xml:space="preserve">Lifeform/motion detection (vision)</t>
  </si>
  <si>
    <t xml:space="preserve">Adafruit discontinued theirs. Get version WITHOUT FIFO</t>
  </si>
  <si>
    <t xml:space="preserve">onsemi (DigiKey/Mouser)</t>
  </si>
  <si>
    <t xml:space="preserve">SiPM module (onsemi MICROFC-SMA-10035-GEVB eval)</t>
  </si>
  <si>
    <t xml:space="preserve">https://www.digikey.com/en/products/detail/onsemi/MICROFC-SMA-10035-GEVB/6220699</t>
  </si>
  <si>
    <t xml:space="preserve">Photon detection / ranging (ToF, photon counting)</t>
  </si>
  <si>
    <t xml:space="preserve">No Adafruit equivalent. Needs fast comparator e.g. TLV3501</t>
  </si>
  <si>
    <t xml:space="preserve">AD8332 VGA board (ultrasound AFE)</t>
  </si>
  <si>
    <t xml:space="preserve">https://www.ebay.com/sch/i.html?_nkw=AD8332+module</t>
  </si>
  <si>
    <t xml:space="preserve">Sonar / structure probing (ultrasound AFE)</t>
  </si>
  <si>
    <t xml:space="preserve">Generic (Amazon)</t>
  </si>
  <si>
    <t xml:space="preserve">Piezo ultrasonic transducers, 40 kHz pair (TX/RX)</t>
  </si>
  <si>
    <t xml:space="preserve">https://www.amazon.com/s?k=40khz+ultrasonic+transducer+piezo</t>
  </si>
  <si>
    <t xml:space="preserve">Sonar / structure probing (pulse-echo TX/RX)</t>
  </si>
  <si>
    <t xml:space="preserve">1 MHz medical piezo is a later upgrade</t>
  </si>
  <si>
    <t xml:space="preserve">TOTAL</t>
  </si>
  <si>
    <t xml:space="preserve">Adafruit parts shaded and sorted first (preferred supplier). Non-Adafruit parts have no Adafruit equivalent. Prices 2026-07-05: 'VERIFIED' seen in a distributor listing this session; 'ESTIMATE' from prior knowledge/typical range - confirm before ordering. Unit prices (blue) editable; totals are formulas.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</si>
</sst>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33F50"/>
        <bgColor rgb="FF333399"/>
      </patternFill>
    </fill>
    <fill>
      <patternFill patternType="solid">
        <fgColor rgb="FFFDE9D9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D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4" min="4" style="0" width="5"/>
    <col collapsed="false" customWidth="true" hidden="false" outlineLevel="0" max="6" min="5" style="0" width="13"/>
    <col collapsed="false" customWidth="true" hidden="false" outlineLevel="0" max="7" min="7" style="0" width="30"/>
    <col collapsed="false" customWidth="true" hidden="false" outlineLevel="0" max="8" min="8" style="0" width="48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3.85" hidden="false" customHeight="false" outlineLevel="0" collapsed="false">
      <c r="A2" s="2" t="s">
        <v>10</v>
      </c>
      <c r="B2" s="2" t="s">
        <v>11</v>
      </c>
      <c r="C2" s="3" t="s">
        <v>12</v>
      </c>
      <c r="D2" s="2" t="n">
        <v>1</v>
      </c>
      <c r="E2" s="4" t="n">
        <v>31.11</v>
      </c>
      <c r="F2" s="5" t="n">
        <f aca="false">D2*E2</f>
        <v>31.11</v>
      </c>
      <c r="G2" s="3" t="s">
        <v>13</v>
      </c>
      <c r="H2" s="3" t="s">
        <v>14</v>
      </c>
      <c r="I2" s="3" t="s">
        <v>15</v>
      </c>
      <c r="J2" s="3"/>
    </row>
    <row r="3" customFormat="false" ht="23.85" hidden="false" customHeight="false" outlineLevel="0" collapsed="false">
      <c r="A3" s="2" t="s">
        <v>10</v>
      </c>
      <c r="B3" s="2" t="s">
        <v>11</v>
      </c>
      <c r="C3" s="3" t="s">
        <v>16</v>
      </c>
      <c r="D3" s="2" t="n">
        <v>1</v>
      </c>
      <c r="E3" s="4" t="n">
        <v>49.5</v>
      </c>
      <c r="F3" s="5" t="n">
        <f aca="false">D3*E3</f>
        <v>49.5</v>
      </c>
      <c r="G3" s="3" t="s">
        <v>17</v>
      </c>
      <c r="H3" s="3" t="s">
        <v>18</v>
      </c>
      <c r="I3" s="3" t="s">
        <v>19</v>
      </c>
      <c r="J3" s="3"/>
    </row>
    <row r="4" customFormat="false" ht="23.85" hidden="false" customHeight="false" outlineLevel="0" collapsed="false">
      <c r="A4" s="2" t="s">
        <v>10</v>
      </c>
      <c r="B4" s="2" t="s">
        <v>11</v>
      </c>
      <c r="C4" s="3" t="s">
        <v>20</v>
      </c>
      <c r="D4" s="2" t="n">
        <v>1</v>
      </c>
      <c r="E4" s="4" t="n">
        <v>7.24</v>
      </c>
      <c r="F4" s="5" t="n">
        <f aca="false">D4*E4</f>
        <v>7.24</v>
      </c>
      <c r="G4" s="3" t="s">
        <v>21</v>
      </c>
      <c r="H4" s="3" t="s">
        <v>22</v>
      </c>
      <c r="I4" s="3" t="s">
        <v>23</v>
      </c>
      <c r="J4" s="3"/>
    </row>
    <row r="5" customFormat="false" ht="23.85" hidden="false" customHeight="false" outlineLevel="0" collapsed="false">
      <c r="A5" s="2" t="s">
        <v>10</v>
      </c>
      <c r="B5" s="2" t="s">
        <v>11</v>
      </c>
      <c r="C5" s="3" t="s">
        <v>24</v>
      </c>
      <c r="D5" s="2" t="n">
        <v>1</v>
      </c>
      <c r="E5" s="4" t="n">
        <v>15.95</v>
      </c>
      <c r="F5" s="5" t="n">
        <f aca="false">D5*E5</f>
        <v>15.95</v>
      </c>
      <c r="G5" s="3" t="s">
        <v>25</v>
      </c>
      <c r="H5" s="3" t="s">
        <v>26</v>
      </c>
      <c r="I5" s="3" t="s">
        <v>27</v>
      </c>
      <c r="J5" s="3"/>
    </row>
    <row r="6" customFormat="false" ht="23.85" hidden="false" customHeight="false" outlineLevel="0" collapsed="false">
      <c r="A6" s="2" t="s">
        <v>28</v>
      </c>
      <c r="B6" s="2" t="s">
        <v>11</v>
      </c>
      <c r="C6" s="3" t="s">
        <v>29</v>
      </c>
      <c r="D6" s="2" t="n">
        <v>6</v>
      </c>
      <c r="E6" s="4" t="n">
        <v>4.95</v>
      </c>
      <c r="F6" s="5" t="n">
        <f aca="false">D6*E6</f>
        <v>29.7</v>
      </c>
      <c r="G6" s="3" t="s">
        <v>30</v>
      </c>
      <c r="H6" s="3" t="s">
        <v>31</v>
      </c>
      <c r="I6" s="3" t="s">
        <v>32</v>
      </c>
      <c r="J6" s="3"/>
    </row>
    <row r="7" customFormat="false" ht="23.85" hidden="false" customHeight="false" outlineLevel="0" collapsed="false">
      <c r="A7" s="6" t="s">
        <v>33</v>
      </c>
      <c r="B7" s="6" t="s">
        <v>34</v>
      </c>
      <c r="C7" s="7" t="s">
        <v>35</v>
      </c>
      <c r="D7" s="6" t="n">
        <v>1</v>
      </c>
      <c r="E7" s="8" t="n">
        <v>19.5</v>
      </c>
      <c r="F7" s="9" t="n">
        <f aca="false">D7*E7</f>
        <v>19.5</v>
      </c>
      <c r="G7" s="7" t="s">
        <v>36</v>
      </c>
      <c r="H7" s="7" t="s">
        <v>37</v>
      </c>
      <c r="I7" s="7" t="s">
        <v>38</v>
      </c>
      <c r="J7" s="7"/>
    </row>
    <row r="8" customFormat="false" ht="46.25" hidden="false" customHeight="false" outlineLevel="0" collapsed="false">
      <c r="A8" s="6" t="s">
        <v>28</v>
      </c>
      <c r="B8" s="6" t="s">
        <v>39</v>
      </c>
      <c r="C8" s="7" t="s">
        <v>40</v>
      </c>
      <c r="D8" s="6" t="n">
        <v>1</v>
      </c>
      <c r="E8" s="8" t="n">
        <v>25</v>
      </c>
      <c r="F8" s="9" t="n">
        <f aca="false">D8*E8</f>
        <v>25</v>
      </c>
      <c r="G8" s="7" t="s">
        <v>41</v>
      </c>
      <c r="H8" s="7" t="s">
        <v>42</v>
      </c>
      <c r="I8" s="7" t="s">
        <v>43</v>
      </c>
      <c r="J8" s="7"/>
    </row>
    <row r="9" customFormat="false" ht="23.85" hidden="false" customHeight="false" outlineLevel="0" collapsed="false">
      <c r="A9" s="6" t="s">
        <v>28</v>
      </c>
      <c r="B9" s="6" t="s">
        <v>39</v>
      </c>
      <c r="C9" s="7" t="s">
        <v>44</v>
      </c>
      <c r="D9" s="6" t="n">
        <v>1</v>
      </c>
      <c r="E9" s="8" t="n">
        <v>20</v>
      </c>
      <c r="F9" s="9" t="n">
        <f aca="false">D9*E9</f>
        <v>20</v>
      </c>
      <c r="G9" s="7" t="s">
        <v>45</v>
      </c>
      <c r="H9" s="7" t="s">
        <v>46</v>
      </c>
      <c r="I9" s="7" t="s">
        <v>47</v>
      </c>
      <c r="J9" s="7"/>
    </row>
    <row r="10" customFormat="false" ht="35.05" hidden="false" customHeight="false" outlineLevel="0" collapsed="false">
      <c r="A10" s="6" t="s">
        <v>28</v>
      </c>
      <c r="B10" s="6" t="s">
        <v>48</v>
      </c>
      <c r="C10" s="7" t="s">
        <v>49</v>
      </c>
      <c r="D10" s="6" t="n">
        <v>1</v>
      </c>
      <c r="E10" s="8" t="n">
        <v>8</v>
      </c>
      <c r="F10" s="9" t="n">
        <f aca="false">D10*E10</f>
        <v>8</v>
      </c>
      <c r="G10" s="7" t="s">
        <v>50</v>
      </c>
      <c r="H10" s="7" t="s">
        <v>51</v>
      </c>
      <c r="I10" s="7" t="s">
        <v>52</v>
      </c>
      <c r="J10" s="7"/>
    </row>
    <row r="11" customFormat="false" ht="35.05" hidden="false" customHeight="false" outlineLevel="0" collapsed="false">
      <c r="A11" s="6" t="s">
        <v>28</v>
      </c>
      <c r="B11" s="6" t="s">
        <v>53</v>
      </c>
      <c r="C11" s="7" t="s">
        <v>54</v>
      </c>
      <c r="D11" s="6" t="n">
        <v>1</v>
      </c>
      <c r="E11" s="8" t="n">
        <v>150</v>
      </c>
      <c r="F11" s="9" t="n">
        <f aca="false">D11*E11</f>
        <v>150</v>
      </c>
      <c r="G11" s="7" t="s">
        <v>55</v>
      </c>
      <c r="H11" s="7" t="s">
        <v>56</v>
      </c>
      <c r="I11" s="7" t="s">
        <v>57</v>
      </c>
      <c r="J11" s="7"/>
    </row>
    <row r="12" customFormat="false" ht="23.85" hidden="false" customHeight="false" outlineLevel="0" collapsed="false">
      <c r="A12" s="6" t="s">
        <v>28</v>
      </c>
      <c r="B12" s="6" t="s">
        <v>39</v>
      </c>
      <c r="C12" s="7" t="s">
        <v>58</v>
      </c>
      <c r="D12" s="6" t="n">
        <v>1</v>
      </c>
      <c r="E12" s="8" t="n">
        <v>30</v>
      </c>
      <c r="F12" s="9" t="n">
        <f aca="false">D12*E12</f>
        <v>30</v>
      </c>
      <c r="G12" s="7" t="s">
        <v>59</v>
      </c>
      <c r="H12" s="7" t="s">
        <v>60</v>
      </c>
      <c r="I12" s="7" t="s">
        <v>47</v>
      </c>
      <c r="J12" s="7"/>
    </row>
    <row r="13" customFormat="false" ht="35.05" hidden="false" customHeight="false" outlineLevel="0" collapsed="false">
      <c r="A13" s="6" t="s">
        <v>28</v>
      </c>
      <c r="B13" s="6" t="s">
        <v>61</v>
      </c>
      <c r="C13" s="7" t="s">
        <v>62</v>
      </c>
      <c r="D13" s="6" t="n">
        <v>2</v>
      </c>
      <c r="E13" s="8" t="n">
        <v>3</v>
      </c>
      <c r="F13" s="9" t="n">
        <f aca="false">D13*E13</f>
        <v>6</v>
      </c>
      <c r="G13" s="7" t="s">
        <v>63</v>
      </c>
      <c r="H13" s="7" t="s">
        <v>64</v>
      </c>
      <c r="I13" s="7" t="s">
        <v>65</v>
      </c>
      <c r="J13" s="7"/>
    </row>
    <row r="15" customFormat="false" ht="15" hidden="false" customHeight="false" outlineLevel="0" collapsed="false">
      <c r="C15" s="10" t="s">
        <v>66</v>
      </c>
      <c r="F15" s="11" t="n">
        <f aca="false">SUM(F2:F13)</f>
        <v>392</v>
      </c>
    </row>
    <row r="17" customFormat="false" ht="15" hidden="false" customHeight="false" outlineLevel="0" collapsed="false">
      <c r="A17" s="1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2026-07-05T06:01:33Z</dcterms:created>
  <dc:creator>openpyxl</dc:creator>
  <dc:description/>
  <dc:language>en-US</dc:language>
  <cp:lastModifiedBy/>
  <dcterms:modified xsi:type="dcterms:W3CDTF">2026-07-05T06:01:33Z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